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6bb60aab58ef9a7/Desktop/"/>
    </mc:Choice>
  </mc:AlternateContent>
  <xr:revisionPtr revIDLastSave="842" documentId="11_2C44BDEC2040C98AC652E47DDCB6EBC61998AE3E" xr6:coauthVersionLast="47" xr6:coauthVersionMax="47" xr10:uidLastSave="{6A5BC2C2-15B5-4600-8D1A-700455CEF8B9}"/>
  <bookViews>
    <workbookView xWindow="-110" yWindow="-110" windowWidth="22180" windowHeight="14140" activeTab="1" xr2:uid="{00000000-000D-0000-FFFF-FFFF00000000}"/>
  </bookViews>
  <sheets>
    <sheet name="الاجهزة المستهدفة" sheetId="2" r:id="rId1"/>
    <sheet name="AI-Data" sheetId="4" r:id="rId2"/>
    <sheet name="AI-Dashboard" sheetId="5" r:id="rId3"/>
    <sheet name="AI_Report" sheetId="6" r:id="rId4"/>
    <sheet name="Encoding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4" l="1"/>
  <c r="I11" i="4"/>
  <c r="I10" i="4"/>
  <c r="I9" i="4"/>
  <c r="I7" i="4"/>
  <c r="B3" i="5"/>
  <c r="A2" i="6"/>
  <c r="A3" i="6"/>
  <c r="A4" i="6"/>
  <c r="A5" i="6"/>
  <c r="A6" i="6"/>
  <c r="I4" i="4"/>
  <c r="C4" i="6" s="1"/>
  <c r="I3" i="4"/>
  <c r="C3" i="6" s="1"/>
  <c r="I5" i="4"/>
  <c r="C5" i="6" s="1"/>
  <c r="I6" i="4"/>
  <c r="I2" i="4"/>
  <c r="C2" i="6" s="1"/>
  <c r="S5" i="2"/>
  <c r="S4" i="2"/>
  <c r="S3" i="2"/>
  <c r="S6" i="2"/>
  <c r="S2" i="2"/>
  <c r="R3" i="2"/>
  <c r="R4" i="2"/>
  <c r="R5" i="2"/>
  <c r="R6" i="2"/>
  <c r="R2" i="2"/>
  <c r="Q2" i="2"/>
  <c r="Q3" i="2"/>
  <c r="Q4" i="2"/>
  <c r="Q5" i="2"/>
  <c r="Q6" i="2"/>
  <c r="P3" i="2"/>
  <c r="P4" i="2"/>
  <c r="P5" i="2"/>
  <c r="P6" i="2"/>
  <c r="P2" i="2"/>
  <c r="O6" i="2"/>
  <c r="O5" i="2"/>
  <c r="O4" i="2"/>
  <c r="O3" i="2"/>
  <c r="O2" i="2"/>
  <c r="M8" i="4" l="1"/>
  <c r="J8" i="4"/>
  <c r="M11" i="4"/>
  <c r="J11" i="4"/>
  <c r="M10" i="4"/>
  <c r="J10" i="4"/>
  <c r="C6" i="6"/>
  <c r="M6" i="4"/>
  <c r="M9" i="4"/>
  <c r="J9" i="4"/>
  <c r="M7" i="4"/>
  <c r="N7" i="4" s="1"/>
  <c r="J7" i="4"/>
  <c r="J4" i="4"/>
  <c r="D4" i="6" s="1"/>
  <c r="M4" i="4"/>
  <c r="M3" i="4"/>
  <c r="J3" i="4"/>
  <c r="D3" i="6" s="1"/>
  <c r="J5" i="4"/>
  <c r="D5" i="6" s="1"/>
  <c r="M5" i="4"/>
  <c r="J6" i="4"/>
  <c r="D6" i="6" s="1"/>
  <c r="J2" i="4"/>
  <c r="D2" i="6" s="1"/>
  <c r="M2" i="4"/>
  <c r="N4" i="4"/>
  <c r="L4" i="4"/>
  <c r="F4" i="6" s="1"/>
  <c r="N5" i="4"/>
  <c r="L5" i="4"/>
  <c r="F5" i="6" s="1"/>
  <c r="N6" i="4"/>
  <c r="L6" i="4"/>
  <c r="F6" i="6" s="1"/>
  <c r="N2" i="4"/>
  <c r="L2" i="4"/>
  <c r="F2" i="6" s="1"/>
  <c r="N3" i="4"/>
  <c r="L3" i="4"/>
  <c r="F3" i="6" s="1"/>
  <c r="L8" i="4" l="1"/>
  <c r="K8" i="4"/>
  <c r="K11" i="4"/>
  <c r="L11" i="4"/>
  <c r="L10" i="4"/>
  <c r="K10" i="4"/>
  <c r="B6" i="6"/>
  <c r="K6" i="4"/>
  <c r="E6" i="6" s="1"/>
  <c r="K4" i="4"/>
  <c r="E4" i="6" s="1"/>
  <c r="B4" i="6"/>
  <c r="B3" i="6"/>
  <c r="K3" i="4"/>
  <c r="E3" i="6" s="1"/>
  <c r="K5" i="4"/>
  <c r="E5" i="6" s="1"/>
  <c r="B5" i="6"/>
  <c r="B2" i="6"/>
  <c r="K2" i="4"/>
  <c r="E2" i="6" s="1"/>
  <c r="K9" i="4"/>
  <c r="L9" i="4"/>
  <c r="K7" i="4"/>
  <c r="L7" i="4"/>
  <c r="B4" i="5"/>
  <c r="B6" i="5"/>
  <c r="B5" i="5"/>
</calcChain>
</file>

<file path=xl/sharedStrings.xml><?xml version="1.0" encoding="utf-8"?>
<sst xmlns="http://schemas.openxmlformats.org/spreadsheetml/2006/main" count="192" uniqueCount="123">
  <si>
    <t xml:space="preserve">اسم الجهاز </t>
  </si>
  <si>
    <t xml:space="preserve">تاريخ العطل </t>
  </si>
  <si>
    <t>عدد الاستخدام قبل العطل</t>
  </si>
  <si>
    <t>الاعراض التي ظهرت قبل العطل</t>
  </si>
  <si>
    <t>تاريخ اخر صيانة</t>
  </si>
  <si>
    <t xml:space="preserve">نوع الإصلاح الذي تم </t>
  </si>
  <si>
    <t>جهاز EDX</t>
  </si>
  <si>
    <t>العطل</t>
  </si>
  <si>
    <t>يوجد انحراف في قراءة بعض العناصر</t>
  </si>
  <si>
    <t>جهاز اللزوجة</t>
  </si>
  <si>
    <t>عطل في حركة سير نقل العينات</t>
  </si>
  <si>
    <t>جهاز الانسكاب</t>
  </si>
  <si>
    <t xml:space="preserve">صوت ضجيج وعدم القدرة على رفع الذراع </t>
  </si>
  <si>
    <t xml:space="preserve">لا يوجد </t>
  </si>
  <si>
    <t>شراء ديتكتور جديد</t>
  </si>
  <si>
    <t>جهاز الفلاش</t>
  </si>
  <si>
    <t>بسبب ارتخاء السير تم شد السير وانحلت المشكلة</t>
  </si>
  <si>
    <t>بشكل مستمر</t>
  </si>
  <si>
    <t>عدم القدرة على قراءة درجة الحرارة</t>
  </si>
  <si>
    <t>بسبب وجود كربون على الحساس تم تنظيفة</t>
  </si>
  <si>
    <t>جهاز التقطير</t>
  </si>
  <si>
    <t xml:space="preserve">عدم القدرة على قراءة النتائج </t>
  </si>
  <si>
    <t>تغيير منظم ضغط الهواء</t>
  </si>
  <si>
    <t>في انتظار توفير القطعه</t>
  </si>
  <si>
    <t xml:space="preserve">وجود خدش في الحساس والسلك </t>
  </si>
  <si>
    <t>مدة ظهور الاعراض</t>
  </si>
  <si>
    <t>صوت + توقف جزئي</t>
  </si>
  <si>
    <t xml:space="preserve">لا تظهر النتائج </t>
  </si>
  <si>
    <t>لا تظهر النتائج</t>
  </si>
  <si>
    <t>صوت خفيف مع بطء</t>
  </si>
  <si>
    <t xml:space="preserve">شدة العطل </t>
  </si>
  <si>
    <t>عالي</t>
  </si>
  <si>
    <t xml:space="preserve">عالي </t>
  </si>
  <si>
    <t>متوسط</t>
  </si>
  <si>
    <t>هل العطل مفاجئ</t>
  </si>
  <si>
    <t>نعم</t>
  </si>
  <si>
    <t>لا</t>
  </si>
  <si>
    <t>تكرار المشكلة قبل العطل</t>
  </si>
  <si>
    <t>غير معروف</t>
  </si>
  <si>
    <t>مرة</t>
  </si>
  <si>
    <t>مستمر</t>
  </si>
  <si>
    <t>اثر العطل</t>
  </si>
  <si>
    <t>توقف كامل للعمل</t>
  </si>
  <si>
    <t>توقف جزئي للعمل</t>
  </si>
  <si>
    <t>إمكانية التنبؤ بالعطل</t>
  </si>
  <si>
    <t>ضعيفة</t>
  </si>
  <si>
    <t>عالية</t>
  </si>
  <si>
    <t>حالة العطل النهائية</t>
  </si>
  <si>
    <t>شدة العطل</t>
  </si>
  <si>
    <t xml:space="preserve">الرقم </t>
  </si>
  <si>
    <t>النص</t>
  </si>
  <si>
    <t>منخفض</t>
  </si>
  <si>
    <t>هل العطل كان مفاجئ</t>
  </si>
  <si>
    <t>متوسطة</t>
  </si>
  <si>
    <t xml:space="preserve">عالية </t>
  </si>
  <si>
    <t>اثر العطل على التشغيل</t>
  </si>
  <si>
    <t>تأخير بسيط</t>
  </si>
  <si>
    <t>تأخير عينات</t>
  </si>
  <si>
    <t xml:space="preserve">توقف جزئي للعمل </t>
  </si>
  <si>
    <t xml:space="preserve">توقف كامل للعمل </t>
  </si>
  <si>
    <t xml:space="preserve">تكرار المشكلة قبل العطل </t>
  </si>
  <si>
    <t>متكرر</t>
  </si>
  <si>
    <t>مفاجئ</t>
  </si>
  <si>
    <t xml:space="preserve">اثر العطل </t>
  </si>
  <si>
    <t>تكرار المشكلة</t>
  </si>
  <si>
    <t xml:space="preserve">لايوجد </t>
  </si>
  <si>
    <t>Week</t>
  </si>
  <si>
    <t>Same Day</t>
  </si>
  <si>
    <t>None</t>
  </si>
  <si>
    <t>Symptom_Duration</t>
  </si>
  <si>
    <t>Severity</t>
  </si>
  <si>
    <t>Sudden</t>
  </si>
  <si>
    <t>Operational_impact</t>
  </si>
  <si>
    <t>Repeatability</t>
  </si>
  <si>
    <t>Predictability</t>
  </si>
  <si>
    <t>Failure</t>
  </si>
  <si>
    <t>Device_Type</t>
  </si>
  <si>
    <t>Viscometer</t>
  </si>
  <si>
    <t>Flash Point</t>
  </si>
  <si>
    <t>EDX</t>
  </si>
  <si>
    <t>Distillation</t>
  </si>
  <si>
    <t>Pour point</t>
  </si>
  <si>
    <t>Risk_Score</t>
  </si>
  <si>
    <t>Maintenance_Strategy</t>
  </si>
  <si>
    <t>AI-Status</t>
  </si>
  <si>
    <t>Warning</t>
  </si>
  <si>
    <t>Normal Operation</t>
  </si>
  <si>
    <t>Normal</t>
  </si>
  <si>
    <t>AI_Recommendation</t>
  </si>
  <si>
    <t>Continue Normal Operation</t>
  </si>
  <si>
    <r>
      <t xml:space="preserve">تفسير AI_Recommendation
يتطلب صيانة فورية: </t>
    </r>
    <r>
      <rPr>
        <sz val="11"/>
        <color rgb="FFC00000"/>
        <rFont val="Arial"/>
        <family val="2"/>
        <scheme val="minor"/>
      </rPr>
      <t>Immediate Maintenance Required</t>
    </r>
    <r>
      <rPr>
        <sz val="11"/>
        <color theme="1"/>
        <rFont val="Arial"/>
        <family val="2"/>
        <scheme val="minor"/>
      </rPr>
      <t xml:space="preserve">
يحتاج فحص مجدول: </t>
    </r>
    <r>
      <rPr>
        <sz val="11"/>
        <color theme="7"/>
        <rFont val="Arial"/>
        <family val="2"/>
        <scheme val="minor"/>
      </rPr>
      <t>Schedule Inspection</t>
    </r>
    <r>
      <rPr>
        <sz val="11"/>
        <color theme="1"/>
        <rFont val="Arial"/>
        <family val="2"/>
        <scheme val="minor"/>
      </rPr>
      <t xml:space="preserve">
استمر في التشغيل الطبيعي: </t>
    </r>
    <r>
      <rPr>
        <sz val="11"/>
        <color rgb="FF00B050"/>
        <rFont val="Arial"/>
        <family val="2"/>
        <scheme val="minor"/>
      </rPr>
      <t>Schedule Inspection</t>
    </r>
  </si>
  <si>
    <r>
      <t xml:space="preserve">شرح الاعمدة:
</t>
    </r>
    <r>
      <rPr>
        <sz val="11"/>
        <color rgb="FFC00000"/>
        <rFont val="Arial"/>
        <family val="2"/>
        <scheme val="minor"/>
      </rPr>
      <t>Ai_Recommendation</t>
    </r>
    <r>
      <rPr>
        <sz val="11"/>
        <color theme="1"/>
        <rFont val="Arial"/>
        <family val="2"/>
        <scheme val="minor"/>
      </rPr>
      <t xml:space="preserve">: التوصية النهائية من الذكاء الاصطناعي
</t>
    </r>
    <r>
      <rPr>
        <sz val="11"/>
        <color rgb="FFFFC000"/>
        <rFont val="Arial"/>
        <family val="2"/>
        <scheme val="minor"/>
      </rPr>
      <t>AI-Status</t>
    </r>
    <r>
      <rPr>
        <sz val="11"/>
        <color theme="1"/>
        <rFont val="Arial"/>
        <family val="2"/>
        <scheme val="minor"/>
      </rPr>
      <t xml:space="preserve">: حالة الجهاز ( حرج , تحذير , طبيعي )
</t>
    </r>
    <r>
      <rPr>
        <sz val="11"/>
        <color rgb="FFFFC000"/>
        <rFont val="Arial"/>
        <family val="2"/>
        <scheme val="minor"/>
      </rPr>
      <t>Maintenane_Strategy</t>
    </r>
    <r>
      <rPr>
        <sz val="11"/>
        <color theme="1"/>
        <rFont val="Arial"/>
        <family val="2"/>
        <scheme val="minor"/>
      </rPr>
      <t xml:space="preserve">: استراتيجية الصيانة المقترحة
</t>
    </r>
    <r>
      <rPr>
        <sz val="11"/>
        <color rgb="FFC00000"/>
        <rFont val="Arial"/>
        <family val="2"/>
        <scheme val="minor"/>
      </rPr>
      <t>Risk_Score</t>
    </r>
    <r>
      <rPr>
        <sz val="11"/>
        <color theme="1"/>
        <rFont val="Arial"/>
        <family val="2"/>
        <scheme val="minor"/>
      </rPr>
      <t xml:space="preserve">: درجة الخطورة من 0 - 10
Divice_Type: نوع الجهاز
Failure: هل يوجد عطل ؟ (1=نعم , 0=لا)
Predictabilty: قابلية التنبؤ ( 1 منخفض , 3 عالي )
Repeatabilty: قابلية التكرار ( 0=منخفض , 3=عالي)
</t>
    </r>
  </si>
  <si>
    <t>Priority_Level</t>
  </si>
  <si>
    <t>Alert_Massage</t>
  </si>
  <si>
    <t>Total Devices</t>
  </si>
  <si>
    <t xml:space="preserve">Critical Devices </t>
  </si>
  <si>
    <t>Warning Devices</t>
  </si>
  <si>
    <t>Normal Devices</t>
  </si>
  <si>
    <t>Device</t>
  </si>
  <si>
    <t>Risk Score</t>
  </si>
  <si>
    <t>Pour Point</t>
  </si>
  <si>
    <t>AI Dicision Logic</t>
  </si>
  <si>
    <t>Risk Score ≥ 8  → Critical</t>
  </si>
  <si>
    <t>Risk Score 5-7 → Warning</t>
  </si>
  <si>
    <t>Risk Score 0-4 → Normal</t>
  </si>
  <si>
    <t>AI System Workflow</t>
  </si>
  <si>
    <t>Input Data</t>
  </si>
  <si>
    <t>↓</t>
  </si>
  <si>
    <t>Risk Analysis</t>
  </si>
  <si>
    <t>AI Classification</t>
  </si>
  <si>
    <t>Maintenance Recommendation</t>
  </si>
  <si>
    <t>Decision Support</t>
  </si>
  <si>
    <t>Device Type</t>
  </si>
  <si>
    <t>AI Status</t>
  </si>
  <si>
    <t>Priority Level</t>
  </si>
  <si>
    <t>Alert Massage</t>
  </si>
  <si>
    <t>Maintenance</t>
  </si>
  <si>
    <t>Status</t>
  </si>
  <si>
    <t>Count</t>
  </si>
  <si>
    <t>Critical</t>
  </si>
  <si>
    <r>
      <rPr>
        <b/>
        <sz val="12"/>
        <color theme="1"/>
        <rFont val="Times New Roman"/>
        <family val="1"/>
        <scheme val="major"/>
      </rPr>
      <t xml:space="preserve">                                            Executive AI Summary</t>
    </r>
    <r>
      <rPr>
        <sz val="11"/>
        <color theme="1"/>
        <rFont val="Times New Roman"/>
        <family val="1"/>
        <scheme val="major"/>
      </rPr>
      <t xml:space="preserve">
The AI system identified:
- 2 Critical devices
- 3 Warning devices
- Highest risk score: Viscometer (10)
- Immediate maintenance is recommended for critical equipment
- Preventive maintenance is recommended for warning devices
- The system supports proactive laboratory maintenance decisions</t>
    </r>
  </si>
  <si>
    <r>
      <rPr>
        <b/>
        <sz val="12"/>
        <color theme="1"/>
        <rFont val="Times New Roman"/>
        <family val="1"/>
        <scheme val="major"/>
      </rPr>
      <t>AI Predictive Scenario</t>
    </r>
    <r>
      <rPr>
        <sz val="11"/>
        <color theme="1"/>
        <rFont val="Times New Roman"/>
        <family val="1"/>
        <scheme val="major"/>
      </rPr>
      <t xml:space="preserve">
If Predictability increases and Repeatability becomes frequent,
the AI system may automatically upgrade the device status
from Warning to Critical.
Recommended action:
Increase monitoring frequency and schedule preventive maintenance.</t>
    </r>
  </si>
  <si>
    <r>
      <t xml:space="preserve">AI Predictive Maintenance Dashboard
</t>
    </r>
    <r>
      <rPr>
        <b/>
        <sz val="12"/>
        <color theme="1"/>
        <rFont val="Times New Roman"/>
        <family val="1"/>
        <scheme val="major"/>
      </rPr>
      <t>Last Update: May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</si>
</sst>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Times New Roman"/>
      <family val="1"/>
      <scheme val="major"/>
    </font>
    <font>
      <sz val="11"/>
      <color rgb="FFC00000"/>
      <name val="Arial"/>
      <family val="2"/>
      <scheme val="minor"/>
    </font>
    <font>
      <sz val="11"/>
      <color rgb="FFC00000"/>
      <name val="Times New Roman"/>
      <family val="1"/>
      <scheme val="major"/>
    </font>
    <font>
      <sz val="11"/>
      <color rgb="FFFFC000"/>
      <name val="Arial"/>
      <family val="2"/>
      <scheme val="minor"/>
    </font>
    <font>
      <sz val="11"/>
      <color theme="9" tint="-0.249977111117893"/>
      <name val="Times New Roman"/>
      <family val="1"/>
      <scheme val="major"/>
    </font>
    <font>
      <sz val="11"/>
      <color rgb="FF00B050"/>
      <name val="Arial"/>
      <family val="2"/>
      <scheme val="minor"/>
    </font>
    <font>
      <sz val="11"/>
      <color theme="7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Times New Roman"/>
      <family val="1"/>
      <scheme val="major"/>
    </font>
    <font>
      <b/>
      <sz val="16"/>
      <color theme="1"/>
      <name val="Times New Roman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عادي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cs typeface="+mj-cs"/>
              </a:rPr>
              <a:t>AI Risk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'AI-Dashboard'!$E$3</c:f>
              <c:strCache>
                <c:ptCount val="1"/>
                <c:pt idx="0">
                  <c:v>Risk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'AI-Dashboard'!$D$4:$D$8</c:f>
              <c:strCache>
                <c:ptCount val="5"/>
                <c:pt idx="0">
                  <c:v>Viscometer</c:v>
                </c:pt>
                <c:pt idx="1">
                  <c:v>EDX</c:v>
                </c:pt>
                <c:pt idx="2">
                  <c:v>Flash Point</c:v>
                </c:pt>
                <c:pt idx="3">
                  <c:v>Distillation</c:v>
                </c:pt>
                <c:pt idx="4">
                  <c:v>Pour Point</c:v>
                </c:pt>
              </c:strCache>
            </c:strRef>
          </c:cat>
          <c:val>
            <c:numRef>
              <c:f>'AI-Dashboard'!$E$4:$E$8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F-48E4-96AF-C76EF15E6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073311"/>
        <c:axId val="1090071391"/>
      </c:barChart>
      <c:catAx>
        <c:axId val="10900733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90071391"/>
        <c:crosses val="autoZero"/>
        <c:auto val="1"/>
        <c:lblAlgn val="ctr"/>
        <c:lblOffset val="100"/>
        <c:noMultiLvlLbl val="0"/>
      </c:catAx>
      <c:valAx>
        <c:axId val="10900713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9007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 Status Distribution</a:t>
            </a:r>
          </a:p>
        </c:rich>
      </c:tx>
      <c:layout>
        <c:manualLayout>
          <c:xMode val="edge"/>
          <c:yMode val="edge"/>
          <c:x val="0.2887222222222222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'AI-Dashboard'!$B$13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91C-4BD8-B9B2-6F8B7F8C9E29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1C-4BD8-B9B2-6F8B7F8C9E29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1C-4BD8-B9B2-6F8B7F8C9E29}"/>
              </c:ext>
            </c:extLst>
          </c:dPt>
          <c:cat>
            <c:strRef>
              <c:f>'AI-Dashboard'!$A$14:$A$16</c:f>
              <c:strCache>
                <c:ptCount val="3"/>
                <c:pt idx="0">
                  <c:v>Critical</c:v>
                </c:pt>
                <c:pt idx="1">
                  <c:v>Warning</c:v>
                </c:pt>
                <c:pt idx="2">
                  <c:v>Normal</c:v>
                </c:pt>
              </c:strCache>
            </c:strRef>
          </c:cat>
          <c:val>
            <c:numRef>
              <c:f>'AI-Dashboard'!$B$14:$B$16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C-4BD8-B9B2-6F8B7F8C9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628650</xdr:colOff>
      <xdr:row>2</xdr:row>
      <xdr:rowOff>0</xdr:rowOff>
    </xdr:from>
    <xdr:to>
      <xdr:col>14</xdr:col>
      <xdr:colOff>647700</xdr:colOff>
      <xdr:row>16</xdr:row>
      <xdr:rowOff>95250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C794CB19-7DF7-2F33-6FAC-F7B0048C9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16</xdr:row>
      <xdr:rowOff>104775</xdr:rowOff>
    </xdr:from>
    <xdr:to>
      <xdr:col>13</xdr:col>
      <xdr:colOff>628650</xdr:colOff>
      <xdr:row>32</xdr:row>
      <xdr:rowOff>3175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5F221E8C-3895-BC07-D4CE-B8937C9C5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0144F-BFD5-4372-925D-9F9044FA4328}">
  <dimension ref="A1:S6"/>
  <sheetViews>
    <sheetView rightToLeft="1" workbookViewId="0">
      <selection activeCell="S12" sqref="S12"/>
    </sheetView>
  </sheetViews>
  <sheetFormatPr defaultRowHeight="14" x14ac:dyDescent="0.3"/>
  <cols>
    <col min="1" max="1" width="10.4140625" style="3" bestFit="1" customWidth="1"/>
    <col min="2" max="2" width="28.5" style="3" bestFit="1" customWidth="1"/>
    <col min="3" max="3" width="9.33203125" style="3" bestFit="1" customWidth="1"/>
    <col min="4" max="4" width="18.33203125" style="3" bestFit="1" customWidth="1"/>
    <col min="5" max="5" width="24.75" style="3" bestFit="1" customWidth="1"/>
    <col min="6" max="6" width="24.75" style="3" customWidth="1"/>
    <col min="7" max="7" width="15.25" style="3" bestFit="1" customWidth="1"/>
    <col min="8" max="8" width="32.9140625" style="3" customWidth="1"/>
    <col min="9" max="9" width="8.6640625" style="3" bestFit="1" customWidth="1"/>
    <col min="10" max="10" width="10.83203125" style="3" bestFit="1" customWidth="1"/>
    <col min="11" max="12" width="15.58203125" style="3" customWidth="1"/>
    <col min="13" max="13" width="12.5" style="3" bestFit="1" customWidth="1"/>
    <col min="14" max="14" width="12.5" style="3" customWidth="1"/>
    <col min="15" max="15" width="12.5" style="3" bestFit="1" customWidth="1"/>
    <col min="16" max="16" width="8.6640625" style="3"/>
    <col min="17" max="18" width="8.6640625" style="3" customWidth="1"/>
    <col min="19" max="19" width="13" style="3" bestFit="1" customWidth="1"/>
    <col min="20" max="16384" width="8.6640625" style="3"/>
  </cols>
  <sheetData>
    <row r="1" spans="1:19" ht="15.5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5</v>
      </c>
      <c r="I1" s="1" t="s">
        <v>30</v>
      </c>
      <c r="J1" s="3" t="s">
        <v>34</v>
      </c>
      <c r="K1" s="3" t="s">
        <v>37</v>
      </c>
      <c r="L1" s="3" t="s">
        <v>41</v>
      </c>
      <c r="M1" s="3" t="s">
        <v>44</v>
      </c>
      <c r="N1" s="3" t="s">
        <v>47</v>
      </c>
      <c r="O1" s="3" t="s">
        <v>48</v>
      </c>
      <c r="P1" s="3" t="s">
        <v>62</v>
      </c>
      <c r="Q1" s="3" t="s">
        <v>63</v>
      </c>
      <c r="R1" s="3" t="s">
        <v>64</v>
      </c>
      <c r="S1" s="3" t="s">
        <v>25</v>
      </c>
    </row>
    <row r="2" spans="1:19" ht="15.5" x14ac:dyDescent="0.35">
      <c r="A2" s="1" t="s">
        <v>6</v>
      </c>
      <c r="B2" s="1" t="s">
        <v>8</v>
      </c>
      <c r="C2" s="2">
        <v>45715</v>
      </c>
      <c r="D2" s="1" t="s">
        <v>17</v>
      </c>
      <c r="E2" s="1" t="s">
        <v>65</v>
      </c>
      <c r="F2" s="1" t="s">
        <v>68</v>
      </c>
      <c r="G2" s="1" t="s">
        <v>23</v>
      </c>
      <c r="H2" s="1" t="s">
        <v>14</v>
      </c>
      <c r="I2" s="1" t="s">
        <v>31</v>
      </c>
      <c r="J2" s="3" t="s">
        <v>35</v>
      </c>
      <c r="K2" s="3" t="s">
        <v>38</v>
      </c>
      <c r="L2" s="3" t="s">
        <v>42</v>
      </c>
      <c r="M2" s="3" t="s">
        <v>45</v>
      </c>
      <c r="N2" s="3">
        <v>1</v>
      </c>
      <c r="O2" s="3">
        <f>IF(M2="ضعيفة",1,IF(M2="متوسطة",2,IF(M2="عالية",3,"")))</f>
        <v>1</v>
      </c>
      <c r="P2" s="3">
        <f>IF(J2="نعم",1,IF(J2="لا",0,""))</f>
        <v>1</v>
      </c>
      <c r="Q2" s="3">
        <f>IF(L2="لا يوجد",0,IF(L2="تأخير بسيط",1,IF(L2="تأخير عينات",2,IF(L2="توقف جزئي للعمل",3,IF(L2="توقف كامل للعمل",4,"")))))</f>
        <v>4</v>
      </c>
      <c r="R2" s="3">
        <f>IF(K2="غير معروف",0,IF(K2="مرة",1,IF(K2="متكرر",2,IF(K2="مستمر",3,""))))</f>
        <v>0</v>
      </c>
      <c r="S2" s="3">
        <f>IF(F2="None",0,IF(F2="Same Day",1,IF(F2="Week",7,"")))</f>
        <v>0</v>
      </c>
    </row>
    <row r="3" spans="1:19" ht="15.5" x14ac:dyDescent="0.35">
      <c r="A3" s="1" t="s">
        <v>9</v>
      </c>
      <c r="B3" s="1" t="s">
        <v>10</v>
      </c>
      <c r="C3" s="3">
        <v>2025</v>
      </c>
      <c r="D3" s="1" t="s">
        <v>17</v>
      </c>
      <c r="E3" s="1" t="s">
        <v>26</v>
      </c>
      <c r="F3" s="1" t="s">
        <v>66</v>
      </c>
      <c r="G3" s="1">
        <v>2025</v>
      </c>
      <c r="H3" s="1" t="s">
        <v>22</v>
      </c>
      <c r="I3" s="1" t="s">
        <v>32</v>
      </c>
      <c r="J3" s="3" t="s">
        <v>36</v>
      </c>
      <c r="K3" s="3" t="s">
        <v>39</v>
      </c>
      <c r="L3" s="3" t="s">
        <v>43</v>
      </c>
      <c r="M3" s="3" t="s">
        <v>46</v>
      </c>
      <c r="N3" s="3">
        <v>1</v>
      </c>
      <c r="O3" s="3">
        <f t="shared" ref="O3" si="0">IF(M3="ضعيفة",1,IF(M3="متوسطة",2,IF(M3="عالية",3,"")))</f>
        <v>3</v>
      </c>
      <c r="P3" s="3">
        <f t="shared" ref="P3:P6" si="1">IF(J3="نعم",1,IF(J3="لا",0,""))</f>
        <v>0</v>
      </c>
      <c r="Q3" s="3">
        <f t="shared" ref="Q3:Q6" si="2">IF(L3="لا يوجد",0,IF(L3="تأخير بسيط",1,IF(L3="تأخير عينات",2,IF(L3="توقف جزئي للعمل",3,IF(L3="توقف كامل للعمل",4,"")))))</f>
        <v>3</v>
      </c>
      <c r="R3" s="3">
        <f t="shared" ref="R3:R6" si="3">IF(K3="غير معروف",0,IF(K3="مرة",1,IF(K3="متكرر",2,IF(K3="مستمر",3,""))))</f>
        <v>1</v>
      </c>
      <c r="S3" s="3">
        <f>IF(F3="None",0,IF(F3="Same Day",1,IF(F3="Week",7,"")))</f>
        <v>7</v>
      </c>
    </row>
    <row r="4" spans="1:19" ht="15.5" x14ac:dyDescent="0.35">
      <c r="A4" s="1" t="s">
        <v>11</v>
      </c>
      <c r="B4" s="1" t="s">
        <v>12</v>
      </c>
      <c r="C4" s="2">
        <v>45774</v>
      </c>
      <c r="D4" s="1" t="s">
        <v>17</v>
      </c>
      <c r="E4" s="1" t="s">
        <v>29</v>
      </c>
      <c r="F4" s="1" t="s">
        <v>66</v>
      </c>
      <c r="G4" s="1">
        <v>2025</v>
      </c>
      <c r="H4" s="1" t="s">
        <v>16</v>
      </c>
      <c r="I4" s="1" t="s">
        <v>33</v>
      </c>
      <c r="J4" s="3" t="s">
        <v>36</v>
      </c>
      <c r="K4" s="3" t="s">
        <v>40</v>
      </c>
      <c r="L4" s="3" t="s">
        <v>43</v>
      </c>
      <c r="M4" s="3" t="s">
        <v>46</v>
      </c>
      <c r="N4" s="3">
        <v>1</v>
      </c>
      <c r="O4" s="3">
        <f>IF(M4="ضعيفة",1,IF(M4="متوسطة",2,IF(M4="عالية",3,"")))</f>
        <v>3</v>
      </c>
      <c r="P4" s="3">
        <f t="shared" si="1"/>
        <v>0</v>
      </c>
      <c r="Q4" s="3">
        <f t="shared" si="2"/>
        <v>3</v>
      </c>
      <c r="R4" s="3">
        <f t="shared" si="3"/>
        <v>3</v>
      </c>
      <c r="S4" s="3">
        <f>IF(F4="None",0,IF(F4="Same Day",1,IF(F4="Week",7,"")))</f>
        <v>7</v>
      </c>
    </row>
    <row r="5" spans="1:19" ht="15.5" x14ac:dyDescent="0.35">
      <c r="A5" s="1" t="s">
        <v>15</v>
      </c>
      <c r="B5" s="1" t="s">
        <v>18</v>
      </c>
      <c r="C5" s="3">
        <v>2022</v>
      </c>
      <c r="D5" s="1" t="s">
        <v>17</v>
      </c>
      <c r="E5" s="1" t="s">
        <v>27</v>
      </c>
      <c r="F5" s="1" t="s">
        <v>67</v>
      </c>
      <c r="G5" s="3">
        <v>2023</v>
      </c>
      <c r="H5" s="1" t="s">
        <v>19</v>
      </c>
      <c r="I5" s="1" t="s">
        <v>33</v>
      </c>
      <c r="J5" s="3" t="s">
        <v>35</v>
      </c>
      <c r="K5" s="3" t="s">
        <v>39</v>
      </c>
      <c r="L5" s="3" t="s">
        <v>43</v>
      </c>
      <c r="M5" s="3" t="s">
        <v>33</v>
      </c>
      <c r="N5" s="3">
        <v>1</v>
      </c>
      <c r="O5" s="3">
        <f>IF(M5="ضعيفة",1,IF(M5="متوسط",2,IF(M5="عالية",3,"")))</f>
        <v>2</v>
      </c>
      <c r="P5" s="3">
        <f t="shared" si="1"/>
        <v>1</v>
      </c>
      <c r="Q5" s="3">
        <f t="shared" si="2"/>
        <v>3</v>
      </c>
      <c r="R5" s="3">
        <f t="shared" si="3"/>
        <v>1</v>
      </c>
      <c r="S5" s="3">
        <f>IF(F5="None",0,IF(F5="Same Day",1,IF(F5="Week",7,"")))</f>
        <v>1</v>
      </c>
    </row>
    <row r="6" spans="1:19" ht="15.5" x14ac:dyDescent="0.35">
      <c r="A6" s="1" t="s">
        <v>20</v>
      </c>
      <c r="B6" s="1" t="s">
        <v>21</v>
      </c>
      <c r="C6" s="3">
        <v>2024</v>
      </c>
      <c r="D6" s="1" t="s">
        <v>17</v>
      </c>
      <c r="E6" s="1" t="s">
        <v>28</v>
      </c>
      <c r="F6" s="1" t="s">
        <v>67</v>
      </c>
      <c r="G6" s="1">
        <v>2024</v>
      </c>
      <c r="H6" s="3" t="s">
        <v>24</v>
      </c>
      <c r="I6" s="1" t="s">
        <v>33</v>
      </c>
      <c r="J6" s="3" t="s">
        <v>35</v>
      </c>
      <c r="K6" s="3" t="s">
        <v>39</v>
      </c>
      <c r="L6" s="3" t="s">
        <v>43</v>
      </c>
      <c r="M6" s="3" t="s">
        <v>33</v>
      </c>
      <c r="N6" s="3">
        <v>1</v>
      </c>
      <c r="O6" s="3">
        <f>IF(M6="ضعيفة",1,IF(M6="متوسط",2,IF(M6="عالية",3,"")))</f>
        <v>2</v>
      </c>
      <c r="P6" s="3">
        <f t="shared" si="1"/>
        <v>1</v>
      </c>
      <c r="Q6" s="3">
        <f t="shared" si="2"/>
        <v>3</v>
      </c>
      <c r="R6" s="3">
        <f t="shared" si="3"/>
        <v>1</v>
      </c>
      <c r="S6" s="3">
        <f t="shared" ref="S6" si="4">IF(F6="None",0,IF(F6="Same Day",1,IF(F6="Week",7,"")))</f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26DE-5123-43CE-A193-4752D9F8D342}">
  <dimension ref="A1:N31"/>
  <sheetViews>
    <sheetView rightToLeft="1" tabSelected="1" workbookViewId="0">
      <selection activeCell="F20" sqref="F20"/>
    </sheetView>
  </sheetViews>
  <sheetFormatPr defaultRowHeight="14" x14ac:dyDescent="0.3"/>
  <cols>
    <col min="1" max="1" width="16.33203125" bestFit="1" customWidth="1"/>
    <col min="4" max="4" width="16.4140625" bestFit="1" customWidth="1"/>
    <col min="5" max="5" width="11.1640625" bestFit="1" customWidth="1"/>
    <col min="6" max="6" width="11" bestFit="1" customWidth="1"/>
    <col min="7" max="7" width="6.08203125" bestFit="1" customWidth="1"/>
    <col min="8" max="8" width="10.75" bestFit="1" customWidth="1"/>
    <col min="9" max="9" width="9.1640625" bestFit="1" customWidth="1"/>
    <col min="10" max="10" width="11.25" bestFit="1" customWidth="1"/>
    <col min="11" max="11" width="38.75" bestFit="1" customWidth="1"/>
    <col min="12" max="12" width="19.58203125" bestFit="1" customWidth="1"/>
    <col min="13" max="13" width="7.6640625" bestFit="1" customWidth="1"/>
    <col min="14" max="14" width="27.9140625" bestFit="1" customWidth="1"/>
  </cols>
  <sheetData>
    <row r="1" spans="1:14" x14ac:dyDescent="0.3">
      <c r="A1" s="4" t="s">
        <v>69</v>
      </c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82</v>
      </c>
      <c r="J1" s="4" t="s">
        <v>92</v>
      </c>
      <c r="K1" s="6" t="s">
        <v>93</v>
      </c>
      <c r="L1" s="6" t="s">
        <v>83</v>
      </c>
      <c r="M1" s="4" t="s">
        <v>84</v>
      </c>
      <c r="N1" s="6" t="s">
        <v>88</v>
      </c>
    </row>
    <row r="2" spans="1:14" x14ac:dyDescent="0.3">
      <c r="A2" s="5">
        <v>7</v>
      </c>
      <c r="B2" s="5">
        <v>3</v>
      </c>
      <c r="C2" s="5">
        <v>0</v>
      </c>
      <c r="D2" s="5">
        <v>4</v>
      </c>
      <c r="E2" s="5">
        <v>3</v>
      </c>
      <c r="F2" s="5">
        <v>3</v>
      </c>
      <c r="G2" s="5">
        <v>1</v>
      </c>
      <c r="H2" s="7" t="s">
        <v>77</v>
      </c>
      <c r="I2" s="8">
        <f>B2+C2+D2+E2</f>
        <v>10</v>
      </c>
      <c r="J2" s="8" t="str">
        <f>IF(I2&gt;=8,"High",IF(I2&gt;=5,"Medium","Low"))</f>
        <v>High</v>
      </c>
      <c r="K2" s="8" t="str">
        <f>IF(TRIM(M2)="Critical","High-risk equipment: immediate action required",IF(TRIM(M2)="Warning","Moderate risk: inspection should be scheduled","Normal condition: continue routine monitoring"))</f>
        <v>High-risk equipment: immediate action required</v>
      </c>
      <c r="L2" s="5" t="str">
        <f>IF(M2="Critical",IF(F2&gt;=2,"Predictive Maintenance","Continuous Monitoring"),IF(M2="Warning","Preventive Maintenance","Normal Operation"))</f>
        <v>Predictive Maintenance</v>
      </c>
      <c r="M2" s="9" t="str">
        <f>IF(I2&gt;=8,"Critical",IF(I2&gt;=5,"Warning","Normal"))</f>
        <v>Critical</v>
      </c>
      <c r="N2" s="9" t="str">
        <f>IF(M2="Critical","Immediate Maintenance Required",IF(M2="Warning","Schedule Inspection","Continue Normal Operation"))</f>
        <v>Immediate Maintenance Required</v>
      </c>
    </row>
    <row r="3" spans="1:14" x14ac:dyDescent="0.3">
      <c r="A3" s="5">
        <v>0</v>
      </c>
      <c r="B3" s="5">
        <v>3</v>
      </c>
      <c r="C3" s="5">
        <v>1</v>
      </c>
      <c r="D3" s="5">
        <v>4</v>
      </c>
      <c r="E3" s="5">
        <v>0</v>
      </c>
      <c r="F3" s="5">
        <v>1</v>
      </c>
      <c r="G3" s="5">
        <v>1</v>
      </c>
      <c r="H3" s="7" t="s">
        <v>79</v>
      </c>
      <c r="I3" s="8">
        <f>B3+C3+D3+E3</f>
        <v>8</v>
      </c>
      <c r="J3" s="8" t="str">
        <f t="shared" ref="J3:J6" si="0">IF(I3&gt;=8,"High",IF(I3&gt;=5,"Medium","Low"))</f>
        <v>High</v>
      </c>
      <c r="K3" s="8" t="str">
        <f t="shared" ref="K3:K6" si="1">IF(TRIM(M3)="Critical","High-risk equipment: immediate action required",IF(TRIM(M3)="Warning","Moderate risk: inspection should be scheduled","Normal condition: continue routine monitoring"))</f>
        <v>High-risk equipment: immediate action required</v>
      </c>
      <c r="L3" s="5" t="str">
        <f t="shared" ref="L3:L6" si="2">IF(M3="Critical",IF(F3&gt;=2,"Predictive Maintenance","Continuous Monitoring"),IF(M3="Warning","Preventive Maintenance","Normal Operation"))</f>
        <v>Continuous Monitoring</v>
      </c>
      <c r="M3" s="9" t="str">
        <f t="shared" ref="M3:M5" si="3">IF(I3&gt;=8,"Critical",IF(I3&gt;=5,"Warning","Normal"))</f>
        <v>Critical</v>
      </c>
      <c r="N3" s="9" t="str">
        <f t="shared" ref="N3:N7" si="4">IF(M3="Critical","Immediate Maintenance Required",IF(M3="Warning","Schedule Inspection","Continue Normal Operation"))</f>
        <v>Immediate Maintenance Required</v>
      </c>
    </row>
    <row r="4" spans="1:14" x14ac:dyDescent="0.3">
      <c r="A4" s="5">
        <v>7</v>
      </c>
      <c r="B4" s="5">
        <v>2</v>
      </c>
      <c r="C4" s="5">
        <v>0</v>
      </c>
      <c r="D4" s="5">
        <v>3</v>
      </c>
      <c r="E4" s="5">
        <v>2</v>
      </c>
      <c r="F4" s="5">
        <v>2</v>
      </c>
      <c r="G4" s="5">
        <v>1</v>
      </c>
      <c r="H4" s="7" t="s">
        <v>78</v>
      </c>
      <c r="I4" s="10">
        <f>B4+C4+D4+E4</f>
        <v>7</v>
      </c>
      <c r="J4" s="8" t="str">
        <f t="shared" si="0"/>
        <v>Medium</v>
      </c>
      <c r="K4" s="8" t="str">
        <f t="shared" si="1"/>
        <v>Moderate risk: inspection should be scheduled</v>
      </c>
      <c r="L4" s="5" t="str">
        <f t="shared" si="2"/>
        <v>Preventive Maintenance</v>
      </c>
      <c r="M4" s="9" t="str">
        <f t="shared" si="3"/>
        <v>Warning</v>
      </c>
      <c r="N4" s="9" t="str">
        <f t="shared" si="4"/>
        <v>Schedule Inspection</v>
      </c>
    </row>
    <row r="5" spans="1:14" x14ac:dyDescent="0.3">
      <c r="A5" s="5">
        <v>0</v>
      </c>
      <c r="B5" s="5">
        <v>2</v>
      </c>
      <c r="C5" s="5">
        <v>1</v>
      </c>
      <c r="D5" s="5">
        <v>3</v>
      </c>
      <c r="E5" s="5">
        <v>1</v>
      </c>
      <c r="F5" s="5">
        <v>2</v>
      </c>
      <c r="G5" s="5">
        <v>1</v>
      </c>
      <c r="H5" s="7" t="s">
        <v>80</v>
      </c>
      <c r="I5" s="10">
        <f>B5+C5+D5+E5</f>
        <v>7</v>
      </c>
      <c r="J5" s="8" t="str">
        <f t="shared" si="0"/>
        <v>Medium</v>
      </c>
      <c r="K5" s="8" t="str">
        <f t="shared" si="1"/>
        <v>Moderate risk: inspection should be scheduled</v>
      </c>
      <c r="L5" s="5" t="str">
        <f t="shared" si="2"/>
        <v>Preventive Maintenance</v>
      </c>
      <c r="M5" s="9" t="str">
        <f t="shared" si="3"/>
        <v>Warning</v>
      </c>
      <c r="N5" s="9" t="str">
        <f t="shared" si="4"/>
        <v>Schedule Inspection</v>
      </c>
    </row>
    <row r="6" spans="1:14" x14ac:dyDescent="0.3">
      <c r="A6" s="5">
        <v>1</v>
      </c>
      <c r="B6" s="5">
        <v>2</v>
      </c>
      <c r="C6" s="5">
        <v>1</v>
      </c>
      <c r="D6" s="5">
        <v>3</v>
      </c>
      <c r="E6" s="5">
        <v>1</v>
      </c>
      <c r="F6" s="5">
        <v>2</v>
      </c>
      <c r="G6" s="5">
        <v>1</v>
      </c>
      <c r="H6" s="7" t="s">
        <v>81</v>
      </c>
      <c r="I6" s="10">
        <f>B6+C6+D6+E6</f>
        <v>7</v>
      </c>
      <c r="J6" s="8" t="str">
        <f t="shared" si="0"/>
        <v>Medium</v>
      </c>
      <c r="K6" s="8" t="str">
        <f t="shared" si="1"/>
        <v>Moderate risk: inspection should be scheduled</v>
      </c>
      <c r="L6" s="5" t="str">
        <f t="shared" si="2"/>
        <v>Preventive Maintenance</v>
      </c>
      <c r="M6" s="9" t="str">
        <f>IF(I6&gt;=8,"Critical",IF(I6&gt;=5,"Warning","Normal"))</f>
        <v>Warning</v>
      </c>
      <c r="N6" s="9" t="str">
        <f t="shared" si="4"/>
        <v>Schedule Inspection</v>
      </c>
    </row>
    <row r="7" spans="1:14" x14ac:dyDescent="0.3">
      <c r="A7" s="5">
        <v>7</v>
      </c>
      <c r="B7" s="5">
        <v>2</v>
      </c>
      <c r="C7" s="5">
        <v>0</v>
      </c>
      <c r="D7" s="5">
        <v>3</v>
      </c>
      <c r="E7" s="5">
        <v>2</v>
      </c>
      <c r="F7" s="5">
        <v>2</v>
      </c>
      <c r="G7" s="5">
        <v>1</v>
      </c>
      <c r="H7" s="7" t="s">
        <v>78</v>
      </c>
      <c r="I7" s="10">
        <f>B7+C7+D7+E7</f>
        <v>7</v>
      </c>
      <c r="J7" s="8" t="str">
        <f t="shared" ref="J7:J10" si="5">IF(I7&gt;=8,"High",IF(I7&gt;=5,"Medium","Low"))</f>
        <v>Medium</v>
      </c>
      <c r="K7" s="8" t="str">
        <f t="shared" ref="K7:K10" si="6">IF(TRIM(M7)="Critical","High-risk equipment: immediate action required",IF(TRIM(M7)="Warning","Moderate risk: inspection should be scheduled","Normal condition: continue routine monitoring"))</f>
        <v>Moderate risk: inspection should be scheduled</v>
      </c>
      <c r="L7" s="5" t="str">
        <f t="shared" ref="L7:L10" si="7">IF(M7="Critical",IF(F7&gt;=2,"Predictive Maintenance","Continuous Monitoring"),IF(M7="Warning","Preventive Maintenance","Normal Operation"))</f>
        <v>Preventive Maintenance</v>
      </c>
      <c r="M7" s="9" t="str">
        <f t="shared" ref="M7:M9" si="8">IF(I7&gt;=8,"Critical",IF(I7&gt;=5,"Warning","Normal"))</f>
        <v>Warning</v>
      </c>
      <c r="N7" s="9" t="str">
        <f t="shared" si="4"/>
        <v>Schedule Inspection</v>
      </c>
    </row>
    <row r="8" spans="1:14" x14ac:dyDescent="0.3">
      <c r="A8" s="5">
        <v>7</v>
      </c>
      <c r="B8" s="5">
        <v>3</v>
      </c>
      <c r="C8" s="5">
        <v>1</v>
      </c>
      <c r="D8" s="5">
        <v>4</v>
      </c>
      <c r="E8" s="5">
        <v>3</v>
      </c>
      <c r="F8" s="5">
        <v>3</v>
      </c>
      <c r="G8" s="5">
        <v>1</v>
      </c>
      <c r="H8" s="7" t="s">
        <v>78</v>
      </c>
      <c r="I8" s="10">
        <f>B8+C8+D8+E8</f>
        <v>11</v>
      </c>
      <c r="J8" s="8" t="str">
        <f t="shared" ref="J8" si="9">IF(I8&gt;=8,"High",IF(I8&gt;=5,"Medium","Low"))</f>
        <v>High</v>
      </c>
      <c r="K8" s="8" t="str">
        <f t="shared" ref="K8" si="10">IF(TRIM(M8)="Critical","High-risk equipment: immediate action required",IF(TRIM(M8)="Warning","Moderate risk: inspection should be scheduled","Normal condition: continue routine monitoring"))</f>
        <v>High-risk equipment: immediate action required</v>
      </c>
      <c r="L8" s="5" t="str">
        <f t="shared" ref="L8" si="11">IF(M8="Critical",IF(F8&gt;=2,"Predictive Maintenance","Continuous Monitoring"),IF(M8="Warning","Preventive Maintenance","Normal Operation"))</f>
        <v>Predictive Maintenance</v>
      </c>
      <c r="M8" s="9" t="str">
        <f t="shared" ref="M8" si="12">IF(I8&gt;=8,"Critical",IF(I8&gt;=5,"Warning","Normal"))</f>
        <v>Critical</v>
      </c>
      <c r="N8" s="30"/>
    </row>
    <row r="9" spans="1:14" x14ac:dyDescent="0.3">
      <c r="A9" s="5">
        <v>7</v>
      </c>
      <c r="B9" s="5">
        <v>2</v>
      </c>
      <c r="C9" s="5">
        <v>1</v>
      </c>
      <c r="D9" s="5">
        <v>3</v>
      </c>
      <c r="E9" s="5">
        <v>2</v>
      </c>
      <c r="F9" s="5">
        <v>2</v>
      </c>
      <c r="G9" s="5">
        <v>1</v>
      </c>
      <c r="H9" s="7" t="s">
        <v>80</v>
      </c>
      <c r="I9" s="10">
        <f>B9+C9+D9+E9</f>
        <v>8</v>
      </c>
      <c r="J9" s="8" t="str">
        <f t="shared" si="5"/>
        <v>High</v>
      </c>
      <c r="K9" s="8" t="str">
        <f t="shared" si="6"/>
        <v>High-risk equipment: immediate action required</v>
      </c>
      <c r="L9" s="5" t="str">
        <f t="shared" si="7"/>
        <v>Predictive Maintenance</v>
      </c>
      <c r="M9" s="9" t="str">
        <f t="shared" si="8"/>
        <v>Critical</v>
      </c>
    </row>
    <row r="10" spans="1:14" x14ac:dyDescent="0.3">
      <c r="A10" s="5">
        <v>1</v>
      </c>
      <c r="B10" s="5">
        <v>1</v>
      </c>
      <c r="C10" s="5">
        <v>1</v>
      </c>
      <c r="D10" s="5">
        <v>2</v>
      </c>
      <c r="E10" s="5">
        <v>1</v>
      </c>
      <c r="F10" s="5">
        <v>2</v>
      </c>
      <c r="G10" s="5">
        <v>1</v>
      </c>
      <c r="H10" s="7" t="s">
        <v>81</v>
      </c>
      <c r="I10" s="10">
        <f>B10+C10+D10+E10</f>
        <v>5</v>
      </c>
      <c r="J10" s="8" t="str">
        <f t="shared" si="5"/>
        <v>Medium</v>
      </c>
      <c r="K10" s="8" t="str">
        <f t="shared" si="6"/>
        <v>Moderate risk: inspection should be scheduled</v>
      </c>
      <c r="L10" s="5" t="str">
        <f t="shared" si="7"/>
        <v>Preventive Maintenance</v>
      </c>
      <c r="M10" s="9" t="str">
        <f>IF(I10&gt;=8,"Critical",IF(I10&gt;=5,"Warning","Normal"))</f>
        <v>Warning</v>
      </c>
    </row>
    <row r="11" spans="1:14" x14ac:dyDescent="0.3">
      <c r="A11" s="5">
        <v>7</v>
      </c>
      <c r="B11" s="5">
        <v>2</v>
      </c>
      <c r="C11" s="5">
        <v>0</v>
      </c>
      <c r="D11" s="5">
        <v>3</v>
      </c>
      <c r="E11" s="5">
        <v>2</v>
      </c>
      <c r="F11" s="5">
        <v>2</v>
      </c>
      <c r="G11" s="5">
        <v>1</v>
      </c>
      <c r="H11" s="7" t="s">
        <v>78</v>
      </c>
      <c r="I11" s="10">
        <f>B11+C11+D11+E11</f>
        <v>7</v>
      </c>
      <c r="J11" s="8" t="str">
        <f t="shared" ref="J11" si="13">IF(I11&gt;=8,"High",IF(I11&gt;=5,"Medium","Low"))</f>
        <v>Medium</v>
      </c>
      <c r="K11" s="8" t="str">
        <f t="shared" ref="K11" si="14">IF(TRIM(M11)="Critical","High-risk equipment: immediate action required",IF(TRIM(M11)="Warning","Moderate risk: inspection should be scheduled","Normal condition: continue routine monitoring"))</f>
        <v>Moderate risk: inspection should be scheduled</v>
      </c>
      <c r="L11" s="5" t="str">
        <f t="shared" ref="L11" si="15">IF(M11="Critical",IF(F11&gt;=2,"Predictive Maintenance","Continuous Monitoring"),IF(M11="Warning","Preventive Maintenance","Normal Operation"))</f>
        <v>Preventive Maintenance</v>
      </c>
      <c r="M11" s="9" t="str">
        <f t="shared" ref="M11" si="16">IF(I11&gt;=8,"Critical",IF(I11&gt;=5,"Warning","Normal"))</f>
        <v>Warning</v>
      </c>
    </row>
    <row r="12" spans="1:14" x14ac:dyDescent="0.3">
      <c r="A12" s="5"/>
      <c r="B12" s="5"/>
      <c r="C12" s="5"/>
      <c r="D12" s="5"/>
      <c r="E12" s="5"/>
      <c r="F12" s="5"/>
      <c r="G12" s="5"/>
      <c r="H12" s="7"/>
      <c r="I12" s="10"/>
      <c r="J12" s="8"/>
      <c r="K12" s="8"/>
      <c r="L12" s="5"/>
      <c r="M12" s="9"/>
    </row>
    <row r="13" spans="1:14" x14ac:dyDescent="0.3">
      <c r="A13" s="5">
        <v>0</v>
      </c>
      <c r="B13" s="5">
        <v>0</v>
      </c>
      <c r="C13" s="5">
        <v>0</v>
      </c>
      <c r="D13" s="5">
        <v>0</v>
      </c>
      <c r="E13" s="5">
        <v>0</v>
      </c>
      <c r="F13" s="5">
        <v>1</v>
      </c>
      <c r="G13" s="5">
        <v>0</v>
      </c>
      <c r="H13" s="7" t="s">
        <v>77</v>
      </c>
      <c r="I13" s="4" t="s">
        <v>82</v>
      </c>
      <c r="J13" s="4"/>
      <c r="K13" s="4"/>
      <c r="L13" s="6" t="s">
        <v>83</v>
      </c>
      <c r="M13" s="4" t="s">
        <v>84</v>
      </c>
      <c r="N13" s="6" t="s">
        <v>88</v>
      </c>
    </row>
    <row r="14" spans="1:14" x14ac:dyDescent="0.3">
      <c r="A14" s="5">
        <v>0</v>
      </c>
      <c r="B14" s="5">
        <v>0</v>
      </c>
      <c r="C14" s="5">
        <v>0</v>
      </c>
      <c r="D14" s="5">
        <v>0</v>
      </c>
      <c r="E14" s="5">
        <v>0</v>
      </c>
      <c r="F14" s="5">
        <v>1</v>
      </c>
      <c r="G14" s="5">
        <v>0</v>
      </c>
      <c r="H14" s="7" t="s">
        <v>79</v>
      </c>
      <c r="I14" s="11">
        <v>0</v>
      </c>
      <c r="J14" s="11"/>
      <c r="K14" s="11"/>
      <c r="L14" s="5" t="s">
        <v>86</v>
      </c>
      <c r="M14" s="11" t="s">
        <v>87</v>
      </c>
      <c r="N14" s="12" t="s">
        <v>89</v>
      </c>
    </row>
    <row r="15" spans="1:14" x14ac:dyDescent="0.3">
      <c r="A15" s="5">
        <v>0</v>
      </c>
      <c r="B15" s="5">
        <v>0</v>
      </c>
      <c r="C15" s="5">
        <v>0</v>
      </c>
      <c r="D15" s="5">
        <v>0</v>
      </c>
      <c r="E15" s="5">
        <v>0</v>
      </c>
      <c r="F15" s="5">
        <v>1</v>
      </c>
      <c r="G15" s="5">
        <v>0</v>
      </c>
      <c r="H15" s="7" t="s">
        <v>78</v>
      </c>
      <c r="I15" s="11">
        <v>0</v>
      </c>
      <c r="J15" s="11"/>
      <c r="K15" s="11"/>
      <c r="L15" s="5" t="s">
        <v>86</v>
      </c>
      <c r="M15" s="11" t="s">
        <v>87</v>
      </c>
      <c r="N15" s="12" t="s">
        <v>89</v>
      </c>
    </row>
    <row r="16" spans="1:14" x14ac:dyDescent="0.3">
      <c r="A16" s="5">
        <v>0</v>
      </c>
      <c r="B16" s="5">
        <v>0</v>
      </c>
      <c r="C16" s="5">
        <v>0</v>
      </c>
      <c r="D16" s="5">
        <v>0</v>
      </c>
      <c r="E16" s="5">
        <v>0</v>
      </c>
      <c r="F16" s="5">
        <v>1</v>
      </c>
      <c r="G16" s="5">
        <v>0</v>
      </c>
      <c r="H16" s="7" t="s">
        <v>80</v>
      </c>
      <c r="I16" s="11">
        <v>0</v>
      </c>
      <c r="J16" s="11"/>
      <c r="K16" s="11"/>
      <c r="L16" s="5" t="s">
        <v>86</v>
      </c>
      <c r="M16" s="11" t="s">
        <v>87</v>
      </c>
      <c r="N16" s="12" t="s">
        <v>89</v>
      </c>
    </row>
    <row r="17" spans="1:14" x14ac:dyDescent="0.3">
      <c r="A17" s="5">
        <v>0</v>
      </c>
      <c r="B17" s="5">
        <v>0</v>
      </c>
      <c r="C17" s="5">
        <v>0</v>
      </c>
      <c r="D17" s="5">
        <v>0</v>
      </c>
      <c r="E17" s="5">
        <v>0</v>
      </c>
      <c r="F17" s="5">
        <v>1</v>
      </c>
      <c r="G17" s="5">
        <v>0</v>
      </c>
      <c r="H17" s="7" t="s">
        <v>81</v>
      </c>
      <c r="I17" s="11">
        <v>0</v>
      </c>
      <c r="J17" s="11"/>
      <c r="K17" s="11"/>
      <c r="L17" s="5" t="s">
        <v>86</v>
      </c>
      <c r="M17" s="11" t="s">
        <v>87</v>
      </c>
      <c r="N17" s="12" t="s">
        <v>89</v>
      </c>
    </row>
    <row r="23" spans="1:14" ht="14" customHeight="1" x14ac:dyDescent="0.3">
      <c r="A23" s="27" t="s">
        <v>90</v>
      </c>
      <c r="B23" s="28"/>
      <c r="C23" s="28"/>
      <c r="D23" s="28"/>
      <c r="E23" s="28"/>
      <c r="G23" s="24" t="s">
        <v>91</v>
      </c>
      <c r="H23" s="24"/>
      <c r="I23" s="24"/>
      <c r="J23" s="24"/>
      <c r="K23" s="24"/>
      <c r="L23" s="24"/>
      <c r="M23" s="24"/>
    </row>
    <row r="24" spans="1:14" x14ac:dyDescent="0.3">
      <c r="A24" s="28"/>
      <c r="B24" s="28"/>
      <c r="C24" s="28"/>
      <c r="D24" s="28"/>
      <c r="E24" s="28"/>
      <c r="G24" s="24"/>
      <c r="H24" s="24"/>
      <c r="I24" s="24"/>
      <c r="J24" s="24"/>
      <c r="K24" s="24"/>
      <c r="L24" s="24"/>
      <c r="M24" s="24"/>
    </row>
    <row r="25" spans="1:14" x14ac:dyDescent="0.3">
      <c r="A25" s="28"/>
      <c r="B25" s="28"/>
      <c r="C25" s="28"/>
      <c r="D25" s="28"/>
      <c r="E25" s="28"/>
      <c r="G25" s="24"/>
      <c r="H25" s="24"/>
      <c r="I25" s="24"/>
      <c r="J25" s="24"/>
      <c r="K25" s="24"/>
      <c r="L25" s="24"/>
      <c r="M25" s="24"/>
    </row>
    <row r="26" spans="1:14" x14ac:dyDescent="0.3">
      <c r="A26" s="28"/>
      <c r="B26" s="28"/>
      <c r="C26" s="28"/>
      <c r="D26" s="28"/>
      <c r="E26" s="28"/>
      <c r="G26" s="24"/>
      <c r="H26" s="24"/>
      <c r="I26" s="24"/>
      <c r="J26" s="24"/>
      <c r="K26" s="24"/>
      <c r="L26" s="24"/>
      <c r="M26" s="24"/>
    </row>
    <row r="27" spans="1:14" x14ac:dyDescent="0.3">
      <c r="A27" s="28"/>
      <c r="B27" s="28"/>
      <c r="C27" s="28"/>
      <c r="D27" s="28"/>
      <c r="E27" s="28"/>
      <c r="G27" s="24"/>
      <c r="H27" s="24"/>
      <c r="I27" s="24"/>
      <c r="J27" s="24"/>
      <c r="K27" s="24"/>
      <c r="L27" s="24"/>
      <c r="M27" s="24"/>
    </row>
    <row r="28" spans="1:14" x14ac:dyDescent="0.3">
      <c r="G28" s="24"/>
      <c r="H28" s="24"/>
      <c r="I28" s="24"/>
      <c r="J28" s="24"/>
      <c r="K28" s="24"/>
      <c r="L28" s="24"/>
      <c r="M28" s="24"/>
    </row>
    <row r="29" spans="1:14" x14ac:dyDescent="0.3">
      <c r="G29" s="24"/>
      <c r="H29" s="24"/>
      <c r="I29" s="24"/>
      <c r="J29" s="24"/>
      <c r="K29" s="24"/>
      <c r="L29" s="24"/>
      <c r="M29" s="24"/>
    </row>
    <row r="30" spans="1:14" x14ac:dyDescent="0.3">
      <c r="G30" s="24"/>
      <c r="H30" s="24"/>
      <c r="I30" s="24"/>
      <c r="J30" s="24"/>
      <c r="K30" s="24"/>
      <c r="L30" s="24"/>
      <c r="M30" s="24"/>
    </row>
    <row r="31" spans="1:14" x14ac:dyDescent="0.3">
      <c r="G31" s="24"/>
      <c r="H31" s="24"/>
      <c r="I31" s="24"/>
      <c r="J31" s="24"/>
      <c r="K31" s="24"/>
      <c r="L31" s="24"/>
      <c r="M31" s="24"/>
    </row>
  </sheetData>
  <sortState xmlns:xlrd2="http://schemas.microsoft.com/office/spreadsheetml/2017/richdata2" ref="A2:I6">
    <sortCondition descending="1" ref="I1:I6"/>
  </sortState>
  <mergeCells count="2">
    <mergeCell ref="A23:E27"/>
    <mergeCell ref="G23:M31"/>
  </mergeCells>
  <conditionalFormatting sqref="M2:M12">
    <cfRule type="containsText" dxfId="5" priority="1" operator="containsText" text="Normal">
      <formula>NOT(ISERROR(SEARCH("Normal",M2)))</formula>
    </cfRule>
    <cfRule type="containsText" dxfId="4" priority="2" operator="containsText" text="Warning">
      <formula>NOT(ISERROR(SEARCH("Warning",M2)))</formula>
    </cfRule>
    <cfRule type="containsText" dxfId="3" priority="3" operator="containsText" text="Critical">
      <formula>NOT(ISERROR(SEARCH("Critical",M2)))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E90F-EA3A-486D-9498-8BE933D09373}">
  <dimension ref="A1:O39"/>
  <sheetViews>
    <sheetView rightToLeft="1" workbookViewId="0">
      <selection activeCell="F21" sqref="F21"/>
    </sheetView>
  </sheetViews>
  <sheetFormatPr defaultRowHeight="14" x14ac:dyDescent="0.3"/>
  <cols>
    <col min="1" max="1" width="22.25" bestFit="1" customWidth="1"/>
    <col min="4" max="4" width="25.9140625" bestFit="1" customWidth="1"/>
    <col min="5" max="5" width="9.58203125" bestFit="1" customWidth="1"/>
  </cols>
  <sheetData>
    <row r="1" spans="1:15" ht="35" customHeight="1" x14ac:dyDescent="0.3">
      <c r="A1" s="25" t="s">
        <v>122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x14ac:dyDescent="0.3">
      <c r="A2" s="3"/>
      <c r="B2" s="3"/>
      <c r="C2" s="3"/>
      <c r="D2" s="3"/>
    </row>
    <row r="3" spans="1:15" x14ac:dyDescent="0.3">
      <c r="A3" s="16" t="s">
        <v>94</v>
      </c>
      <c r="B3" s="17">
        <f>COUNTA('AI-Data'!H2:H6)</f>
        <v>5</v>
      </c>
      <c r="C3" s="3"/>
      <c r="D3" s="15" t="s">
        <v>98</v>
      </c>
      <c r="E3" s="15" t="s">
        <v>99</v>
      </c>
    </row>
    <row r="4" spans="1:15" x14ac:dyDescent="0.3">
      <c r="A4" s="18" t="s">
        <v>95</v>
      </c>
      <c r="B4" s="17">
        <f>COUNTIF('AI-Data'!M2:M7,"Critical")</f>
        <v>2</v>
      </c>
      <c r="C4" s="3"/>
      <c r="D4" s="13" t="s">
        <v>77</v>
      </c>
      <c r="E4" s="13">
        <v>10</v>
      </c>
    </row>
    <row r="5" spans="1:15" x14ac:dyDescent="0.3">
      <c r="A5" s="19" t="s">
        <v>96</v>
      </c>
      <c r="B5" s="17">
        <f>COUNTIF('AI-Data'!M2:M7,"Warning")</f>
        <v>4</v>
      </c>
      <c r="C5" s="3"/>
      <c r="D5" s="13" t="s">
        <v>79</v>
      </c>
      <c r="E5" s="13">
        <v>8</v>
      </c>
    </row>
    <row r="6" spans="1:15" x14ac:dyDescent="0.3">
      <c r="A6" s="20" t="s">
        <v>97</v>
      </c>
      <c r="B6" s="17">
        <f>COUNTIF('AI-Data'!M2:M7,"Normal")</f>
        <v>0</v>
      </c>
      <c r="C6" s="3"/>
      <c r="D6" s="13" t="s">
        <v>78</v>
      </c>
      <c r="E6" s="13">
        <v>7</v>
      </c>
    </row>
    <row r="7" spans="1:15" x14ac:dyDescent="0.3">
      <c r="D7" s="13" t="s">
        <v>80</v>
      </c>
      <c r="E7" s="13">
        <v>7</v>
      </c>
    </row>
    <row r="8" spans="1:15" x14ac:dyDescent="0.3">
      <c r="A8" s="15" t="s">
        <v>101</v>
      </c>
      <c r="D8" s="13" t="s">
        <v>100</v>
      </c>
      <c r="E8" s="13">
        <v>7</v>
      </c>
    </row>
    <row r="9" spans="1:15" x14ac:dyDescent="0.3">
      <c r="A9" s="13" t="s">
        <v>102</v>
      </c>
    </row>
    <row r="10" spans="1:15" x14ac:dyDescent="0.3">
      <c r="A10" s="13" t="s">
        <v>103</v>
      </c>
      <c r="D10" s="15" t="s">
        <v>105</v>
      </c>
    </row>
    <row r="11" spans="1:15" x14ac:dyDescent="0.3">
      <c r="A11" s="13" t="s">
        <v>104</v>
      </c>
      <c r="D11" s="13" t="s">
        <v>106</v>
      </c>
    </row>
    <row r="12" spans="1:15" x14ac:dyDescent="0.3">
      <c r="D12" s="13" t="s">
        <v>107</v>
      </c>
    </row>
    <row r="13" spans="1:15" x14ac:dyDescent="0.3">
      <c r="A13" s="13" t="s">
        <v>117</v>
      </c>
      <c r="B13" s="13" t="s">
        <v>118</v>
      </c>
      <c r="D13" s="13" t="s">
        <v>108</v>
      </c>
    </row>
    <row r="14" spans="1:15" x14ac:dyDescent="0.3">
      <c r="A14" s="13" t="s">
        <v>119</v>
      </c>
      <c r="B14" s="13">
        <v>2</v>
      </c>
      <c r="D14" s="13" t="s">
        <v>107</v>
      </c>
    </row>
    <row r="15" spans="1:15" x14ac:dyDescent="0.3">
      <c r="A15" s="13" t="s">
        <v>85</v>
      </c>
      <c r="B15" s="13">
        <v>3</v>
      </c>
      <c r="D15" s="13" t="s">
        <v>109</v>
      </c>
    </row>
    <row r="16" spans="1:15" x14ac:dyDescent="0.3">
      <c r="A16" s="13" t="s">
        <v>87</v>
      </c>
      <c r="B16" s="13">
        <v>1</v>
      </c>
      <c r="D16" s="13" t="s">
        <v>107</v>
      </c>
    </row>
    <row r="17" spans="1:4" x14ac:dyDescent="0.3">
      <c r="D17" s="13" t="s">
        <v>110</v>
      </c>
    </row>
    <row r="18" spans="1:4" x14ac:dyDescent="0.3">
      <c r="D18" s="13" t="s">
        <v>107</v>
      </c>
    </row>
    <row r="19" spans="1:4" x14ac:dyDescent="0.3">
      <c r="D19" s="13" t="s">
        <v>111</v>
      </c>
    </row>
    <row r="21" spans="1:4" x14ac:dyDescent="0.3">
      <c r="A21" s="21" t="s">
        <v>120</v>
      </c>
      <c r="B21" s="22"/>
      <c r="C21" s="22"/>
      <c r="D21" s="22"/>
    </row>
    <row r="22" spans="1:4" x14ac:dyDescent="0.3">
      <c r="A22" s="22"/>
      <c r="B22" s="22"/>
      <c r="C22" s="22"/>
      <c r="D22" s="22"/>
    </row>
    <row r="23" spans="1:4" x14ac:dyDescent="0.3">
      <c r="A23" s="22"/>
      <c r="B23" s="22"/>
      <c r="C23" s="22"/>
      <c r="D23" s="22"/>
    </row>
    <row r="24" spans="1:4" x14ac:dyDescent="0.3">
      <c r="A24" s="22"/>
      <c r="B24" s="22"/>
      <c r="C24" s="22"/>
      <c r="D24" s="22"/>
    </row>
    <row r="25" spans="1:4" x14ac:dyDescent="0.3">
      <c r="A25" s="22"/>
      <c r="B25" s="22"/>
      <c r="C25" s="22"/>
      <c r="D25" s="22"/>
    </row>
    <row r="26" spans="1:4" x14ac:dyDescent="0.3">
      <c r="A26" s="22"/>
      <c r="B26" s="22"/>
      <c r="C26" s="22"/>
      <c r="D26" s="22"/>
    </row>
    <row r="27" spans="1:4" x14ac:dyDescent="0.3">
      <c r="A27" s="22"/>
      <c r="B27" s="22"/>
      <c r="C27" s="22"/>
      <c r="D27" s="22"/>
    </row>
    <row r="28" spans="1:4" x14ac:dyDescent="0.3">
      <c r="A28" s="22"/>
      <c r="B28" s="22"/>
      <c r="C28" s="22"/>
      <c r="D28" s="22"/>
    </row>
    <row r="29" spans="1:4" x14ac:dyDescent="0.3">
      <c r="A29" s="22"/>
      <c r="B29" s="22"/>
      <c r="C29" s="22"/>
      <c r="D29" s="22"/>
    </row>
    <row r="32" spans="1:4" ht="14" customHeight="1" x14ac:dyDescent="0.3">
      <c r="A32" s="23" t="s">
        <v>121</v>
      </c>
      <c r="B32" s="24"/>
      <c r="C32" s="24"/>
      <c r="D32" s="24"/>
    </row>
    <row r="33" spans="1:4" x14ac:dyDescent="0.3">
      <c r="A33" s="24"/>
      <c r="B33" s="24"/>
      <c r="C33" s="24"/>
      <c r="D33" s="24"/>
    </row>
    <row r="34" spans="1:4" x14ac:dyDescent="0.3">
      <c r="A34" s="24"/>
      <c r="B34" s="24"/>
      <c r="C34" s="24"/>
      <c r="D34" s="24"/>
    </row>
    <row r="35" spans="1:4" x14ac:dyDescent="0.3">
      <c r="A35" s="24"/>
      <c r="B35" s="24"/>
      <c r="C35" s="24"/>
      <c r="D35" s="24"/>
    </row>
    <row r="36" spans="1:4" x14ac:dyDescent="0.3">
      <c r="A36" s="24"/>
      <c r="B36" s="24"/>
      <c r="C36" s="24"/>
      <c r="D36" s="24"/>
    </row>
    <row r="37" spans="1:4" x14ac:dyDescent="0.3">
      <c r="A37" s="24"/>
      <c r="B37" s="24"/>
      <c r="C37" s="24"/>
      <c r="D37" s="24"/>
    </row>
    <row r="38" spans="1:4" x14ac:dyDescent="0.3">
      <c r="A38" s="24"/>
      <c r="B38" s="24"/>
      <c r="C38" s="24"/>
      <c r="D38" s="24"/>
    </row>
    <row r="39" spans="1:4" x14ac:dyDescent="0.3">
      <c r="A39" s="24"/>
      <c r="B39" s="24"/>
      <c r="C39" s="24"/>
      <c r="D39" s="24"/>
    </row>
  </sheetData>
  <mergeCells count="3">
    <mergeCell ref="A21:D29"/>
    <mergeCell ref="A32:D39"/>
    <mergeCell ref="A1:O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1D79-BF4F-4A21-9312-9EB092FDD088}">
  <dimension ref="A1:F7"/>
  <sheetViews>
    <sheetView rightToLeft="1" workbookViewId="0">
      <selection activeCell="B11" sqref="B11"/>
    </sheetView>
  </sheetViews>
  <sheetFormatPr defaultRowHeight="14" x14ac:dyDescent="0.3"/>
  <cols>
    <col min="1" max="1" width="10.9140625" bestFit="1" customWidth="1"/>
    <col min="2" max="2" width="38.75" bestFit="1" customWidth="1"/>
    <col min="3" max="3" width="9.58203125" bestFit="1" customWidth="1"/>
    <col min="4" max="4" width="11.25" bestFit="1" customWidth="1"/>
    <col min="5" max="5" width="38.75" bestFit="1" customWidth="1"/>
    <col min="6" max="6" width="19.58203125" bestFit="1" customWidth="1"/>
  </cols>
  <sheetData>
    <row r="1" spans="1:6" x14ac:dyDescent="0.3">
      <c r="A1" s="7" t="s">
        <v>112</v>
      </c>
      <c r="B1" s="7" t="s">
        <v>113</v>
      </c>
      <c r="C1" s="7" t="s">
        <v>99</v>
      </c>
      <c r="D1" s="7" t="s">
        <v>114</v>
      </c>
      <c r="E1" s="7" t="s">
        <v>115</v>
      </c>
      <c r="F1" s="7" t="s">
        <v>116</v>
      </c>
    </row>
    <row r="2" spans="1:6" x14ac:dyDescent="0.3">
      <c r="A2" s="13" t="str">
        <f>'AI-Data'!H2</f>
        <v>Viscometer</v>
      </c>
      <c r="B2" s="13" t="str">
        <f>'AI-Data'!M2</f>
        <v>Critical</v>
      </c>
      <c r="C2" s="13">
        <f>'AI-Data'!I2</f>
        <v>10</v>
      </c>
      <c r="D2" s="13" t="str">
        <f>'AI-Data'!J2</f>
        <v>High</v>
      </c>
      <c r="E2" s="13" t="str">
        <f>'AI-Data'!K2</f>
        <v>High-risk equipment: immediate action required</v>
      </c>
      <c r="F2" s="13" t="str">
        <f>'AI-Data'!L2</f>
        <v>Predictive Maintenance</v>
      </c>
    </row>
    <row r="3" spans="1:6" x14ac:dyDescent="0.3">
      <c r="A3" s="13" t="str">
        <f>'AI-Data'!H3</f>
        <v>EDX</v>
      </c>
      <c r="B3" s="13" t="str">
        <f>'AI-Data'!M3</f>
        <v>Critical</v>
      </c>
      <c r="C3" s="13">
        <f>'AI-Data'!I3</f>
        <v>8</v>
      </c>
      <c r="D3" s="13" t="str">
        <f>'AI-Data'!J3</f>
        <v>High</v>
      </c>
      <c r="E3" s="13" t="str">
        <f>'AI-Data'!K3</f>
        <v>High-risk equipment: immediate action required</v>
      </c>
      <c r="F3" s="13" t="str">
        <f>'AI-Data'!L3</f>
        <v>Continuous Monitoring</v>
      </c>
    </row>
    <row r="4" spans="1:6" x14ac:dyDescent="0.3">
      <c r="A4" s="13" t="str">
        <f>'AI-Data'!H4</f>
        <v>Flash Point</v>
      </c>
      <c r="B4" s="13" t="str">
        <f>'AI-Data'!M4</f>
        <v>Warning</v>
      </c>
      <c r="C4" s="13">
        <f>'AI-Data'!I4</f>
        <v>7</v>
      </c>
      <c r="D4" s="13" t="str">
        <f>'AI-Data'!J4</f>
        <v>Medium</v>
      </c>
      <c r="E4" s="13" t="str">
        <f>'AI-Data'!K4</f>
        <v>Moderate risk: inspection should be scheduled</v>
      </c>
      <c r="F4" s="13" t="str">
        <f>'AI-Data'!L4</f>
        <v>Preventive Maintenance</v>
      </c>
    </row>
    <row r="5" spans="1:6" x14ac:dyDescent="0.3">
      <c r="A5" s="13" t="str">
        <f>'AI-Data'!H5</f>
        <v>Distillation</v>
      </c>
      <c r="B5" s="13" t="str">
        <f>'AI-Data'!M5</f>
        <v>Warning</v>
      </c>
      <c r="C5" s="13">
        <f>'AI-Data'!I5</f>
        <v>7</v>
      </c>
      <c r="D5" s="13" t="str">
        <f>'AI-Data'!J5</f>
        <v>Medium</v>
      </c>
      <c r="E5" s="13" t="str">
        <f>'AI-Data'!K5</f>
        <v>Moderate risk: inspection should be scheduled</v>
      </c>
      <c r="F5" s="13" t="str">
        <f>'AI-Data'!L5</f>
        <v>Preventive Maintenance</v>
      </c>
    </row>
    <row r="6" spans="1:6" x14ac:dyDescent="0.3">
      <c r="A6" s="13" t="str">
        <f>'AI-Data'!H6</f>
        <v>Pour point</v>
      </c>
      <c r="B6" s="13" t="str">
        <f>'AI-Data'!M6</f>
        <v>Warning</v>
      </c>
      <c r="C6" s="13">
        <f>'AI-Data'!I6</f>
        <v>7</v>
      </c>
      <c r="D6" s="13" t="str">
        <f>'AI-Data'!J6</f>
        <v>Medium</v>
      </c>
      <c r="E6" s="13" t="str">
        <f>'AI-Data'!K6</f>
        <v>Moderate risk: inspection should be scheduled</v>
      </c>
      <c r="F6" s="13" t="str">
        <f>'AI-Data'!L6</f>
        <v>Preventive Maintenance</v>
      </c>
    </row>
    <row r="7" spans="1:6" x14ac:dyDescent="0.3">
      <c r="A7" s="14"/>
      <c r="B7" s="13" t="s">
        <v>87</v>
      </c>
      <c r="C7" s="14"/>
      <c r="D7" s="14"/>
      <c r="E7" s="14"/>
      <c r="F7" s="14"/>
    </row>
  </sheetData>
  <conditionalFormatting sqref="B1:B6">
    <cfRule type="containsText" dxfId="2" priority="3" operator="containsText" text="Critical">
      <formula>NOT(ISERROR(SEARCH("Critical",B1)))</formula>
    </cfRule>
  </conditionalFormatting>
  <conditionalFormatting sqref="B2:B6">
    <cfRule type="containsText" dxfId="1" priority="2" operator="containsText" text="Warning">
      <formula>NOT(ISERROR(SEARCH("Warning",B2)))</formula>
    </cfRule>
  </conditionalFormatting>
  <conditionalFormatting sqref="B2:B7">
    <cfRule type="containsText" dxfId="0" priority="1" operator="containsText" text="Normal">
      <formula>NOT(ISERROR(SEARCH("Normal",B2)))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2235-DDE2-4557-8F06-CFAEE45C7D2C}">
  <dimension ref="A1:B30"/>
  <sheetViews>
    <sheetView rightToLeft="1" workbookViewId="0">
      <selection activeCell="B31" sqref="B31"/>
    </sheetView>
  </sheetViews>
  <sheetFormatPr defaultRowHeight="14" x14ac:dyDescent="0.3"/>
  <cols>
    <col min="1" max="1" width="12.08203125" bestFit="1" customWidth="1"/>
  </cols>
  <sheetData>
    <row r="1" spans="1:2" x14ac:dyDescent="0.3">
      <c r="A1" s="29" t="s">
        <v>48</v>
      </c>
      <c r="B1" s="29"/>
    </row>
    <row r="2" spans="1:2" x14ac:dyDescent="0.3">
      <c r="A2" s="3" t="s">
        <v>50</v>
      </c>
      <c r="B2" s="3" t="s">
        <v>49</v>
      </c>
    </row>
    <row r="3" spans="1:2" x14ac:dyDescent="0.3">
      <c r="A3" s="3" t="s">
        <v>51</v>
      </c>
      <c r="B3" s="3">
        <v>1</v>
      </c>
    </row>
    <row r="4" spans="1:2" x14ac:dyDescent="0.3">
      <c r="A4" s="3" t="s">
        <v>33</v>
      </c>
      <c r="B4" s="3">
        <v>2</v>
      </c>
    </row>
    <row r="5" spans="1:2" x14ac:dyDescent="0.3">
      <c r="A5" s="3" t="s">
        <v>32</v>
      </c>
      <c r="B5" s="3">
        <v>3</v>
      </c>
    </row>
    <row r="7" spans="1:2" x14ac:dyDescent="0.3">
      <c r="A7" s="29" t="s">
        <v>52</v>
      </c>
      <c r="B7" s="29"/>
    </row>
    <row r="8" spans="1:2" x14ac:dyDescent="0.3">
      <c r="A8" s="3" t="s">
        <v>50</v>
      </c>
      <c r="B8" s="3" t="s">
        <v>49</v>
      </c>
    </row>
    <row r="9" spans="1:2" x14ac:dyDescent="0.3">
      <c r="A9" s="3" t="s">
        <v>35</v>
      </c>
      <c r="B9" s="3">
        <v>1</v>
      </c>
    </row>
    <row r="10" spans="1:2" x14ac:dyDescent="0.3">
      <c r="A10" s="3" t="s">
        <v>36</v>
      </c>
      <c r="B10" s="3">
        <v>0</v>
      </c>
    </row>
    <row r="12" spans="1:2" x14ac:dyDescent="0.3">
      <c r="A12" s="29" t="s">
        <v>44</v>
      </c>
      <c r="B12" s="29"/>
    </row>
    <row r="13" spans="1:2" x14ac:dyDescent="0.3">
      <c r="A13" s="3" t="s">
        <v>50</v>
      </c>
      <c r="B13" t="s">
        <v>49</v>
      </c>
    </row>
    <row r="14" spans="1:2" x14ac:dyDescent="0.3">
      <c r="A14" s="3" t="s">
        <v>45</v>
      </c>
      <c r="B14" s="3">
        <v>1</v>
      </c>
    </row>
    <row r="15" spans="1:2" x14ac:dyDescent="0.3">
      <c r="A15" s="3" t="s">
        <v>53</v>
      </c>
      <c r="B15" s="3">
        <v>2</v>
      </c>
    </row>
    <row r="16" spans="1:2" x14ac:dyDescent="0.3">
      <c r="A16" s="3" t="s">
        <v>54</v>
      </c>
      <c r="B16" s="3">
        <v>3</v>
      </c>
    </row>
    <row r="18" spans="1:2" x14ac:dyDescent="0.3">
      <c r="A18" s="29" t="s">
        <v>55</v>
      </c>
      <c r="B18" s="29"/>
    </row>
    <row r="19" spans="1:2" x14ac:dyDescent="0.3">
      <c r="A19" s="3" t="s">
        <v>50</v>
      </c>
      <c r="B19" s="3" t="s">
        <v>49</v>
      </c>
    </row>
    <row r="20" spans="1:2" x14ac:dyDescent="0.3">
      <c r="A20" s="3" t="s">
        <v>13</v>
      </c>
      <c r="B20" s="3">
        <v>0</v>
      </c>
    </row>
    <row r="21" spans="1:2" x14ac:dyDescent="0.3">
      <c r="A21" s="3" t="s">
        <v>56</v>
      </c>
      <c r="B21" s="3">
        <v>1</v>
      </c>
    </row>
    <row r="22" spans="1:2" x14ac:dyDescent="0.3">
      <c r="A22" s="3" t="s">
        <v>57</v>
      </c>
      <c r="B22" s="3">
        <v>2</v>
      </c>
    </row>
    <row r="23" spans="1:2" x14ac:dyDescent="0.3">
      <c r="A23" s="3" t="s">
        <v>58</v>
      </c>
      <c r="B23" s="3">
        <v>3</v>
      </c>
    </row>
    <row r="24" spans="1:2" x14ac:dyDescent="0.3">
      <c r="A24" s="3" t="s">
        <v>59</v>
      </c>
      <c r="B24" s="3">
        <v>4</v>
      </c>
    </row>
    <row r="26" spans="1:2" x14ac:dyDescent="0.3">
      <c r="A26" s="29" t="s">
        <v>60</v>
      </c>
      <c r="B26" s="29"/>
    </row>
    <row r="27" spans="1:2" x14ac:dyDescent="0.3">
      <c r="A27" s="3" t="s">
        <v>39</v>
      </c>
      <c r="B27" s="3">
        <v>1</v>
      </c>
    </row>
    <row r="28" spans="1:2" x14ac:dyDescent="0.3">
      <c r="A28" s="3" t="s">
        <v>61</v>
      </c>
      <c r="B28" s="3">
        <v>2</v>
      </c>
    </row>
    <row r="29" spans="1:2" x14ac:dyDescent="0.3">
      <c r="A29" s="3" t="s">
        <v>40</v>
      </c>
      <c r="B29" s="3">
        <v>3</v>
      </c>
    </row>
    <row r="30" spans="1:2" x14ac:dyDescent="0.3">
      <c r="A30" s="3" t="s">
        <v>38</v>
      </c>
      <c r="B30" s="3">
        <v>0</v>
      </c>
    </row>
  </sheetData>
  <mergeCells count="5">
    <mergeCell ref="A1:B1"/>
    <mergeCell ref="A7:B7"/>
    <mergeCell ref="A12:B12"/>
    <mergeCell ref="A18:B18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الاجهزة المستهدفة</vt:lpstr>
      <vt:lpstr>AI-Data</vt:lpstr>
      <vt:lpstr>AI-Dashboard</vt:lpstr>
      <vt:lpstr>AI_Report</vt:lpstr>
      <vt:lpstr>Encoding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Al-Ghamdi</dc:creator>
  <cp:lastModifiedBy>Saeed Al-Ghamdi</cp:lastModifiedBy>
  <dcterms:created xsi:type="dcterms:W3CDTF">2015-06-05T18:17:20Z</dcterms:created>
  <dcterms:modified xsi:type="dcterms:W3CDTF">2026-05-14T10:42:55Z</dcterms:modified>
</cp:coreProperties>
</file>